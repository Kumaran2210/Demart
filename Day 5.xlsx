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0" documentId="8_{8B537CF5-B2ED-4690-BE96-D877F7349381}" xr6:coauthVersionLast="47" xr6:coauthVersionMax="47" xr10:uidLastSave="{00000000-0000-0000-0000-000000000000}"/>
  <bookViews>
    <workbookView xWindow="-108" yWindow="-108" windowWidth="23256" windowHeight="13176" xr2:uid="{0E3DAD9A-5736-4EBC-A780-CC4D82C18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D10" i="1"/>
  <c r="G3" i="1"/>
  <c r="H3" i="1"/>
  <c r="I3" i="1" s="1"/>
  <c r="G4" i="1"/>
  <c r="H4" i="1"/>
  <c r="I4" i="1" s="1"/>
  <c r="G5" i="1"/>
  <c r="H5" i="1"/>
  <c r="G6" i="1"/>
  <c r="H6" i="1"/>
  <c r="G7" i="1"/>
  <c r="H7" i="1"/>
  <c r="G8" i="1"/>
  <c r="H8" i="1"/>
  <c r="E10" i="1"/>
  <c r="F10" i="1"/>
  <c r="B14" i="1"/>
</calcChain>
</file>

<file path=xl/sharedStrings.xml><?xml version="1.0" encoding="utf-8"?>
<sst xmlns="http://schemas.openxmlformats.org/spreadsheetml/2006/main" count="24" uniqueCount="21">
  <si>
    <t>Reg No</t>
  </si>
  <si>
    <t>Name</t>
  </si>
  <si>
    <t>M1</t>
  </si>
  <si>
    <t>M2</t>
  </si>
  <si>
    <t>M3</t>
  </si>
  <si>
    <t>Kumaran</t>
  </si>
  <si>
    <t>Praveen</t>
  </si>
  <si>
    <t>Sharan Raj</t>
  </si>
  <si>
    <t xml:space="preserve">Vignesh </t>
  </si>
  <si>
    <t>Sudharsan</t>
  </si>
  <si>
    <t>Rajasekar</t>
  </si>
  <si>
    <t>Learners Mark Sheet</t>
  </si>
  <si>
    <t>Total</t>
  </si>
  <si>
    <t>Total Learners</t>
  </si>
  <si>
    <t>Average</t>
  </si>
  <si>
    <t>Result</t>
  </si>
  <si>
    <t>Department</t>
  </si>
  <si>
    <t>AI&amp;DS</t>
  </si>
  <si>
    <t>IT</t>
  </si>
  <si>
    <t>HR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</si>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</sst>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164" fontId="0" fillId="0" borderId="0" xfId="1" applyNumberFormat="1" applyFont="1"/>
    <xf numFmtId="0" fontId="0" fillId="2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45">
    <dxf>
      <font>
        <b/>
        <i/>
        <color theme="8" tint="-0.24994659260841701"/>
      </font>
    </dxf>
    <dxf>
      <font>
        <color theme="3" tint="0.499984740745262"/>
      </font>
      <fill>
        <patternFill>
          <bgColor theme="3"/>
        </patternFill>
      </fill>
    </dxf>
    <dxf>
      <font>
        <b/>
        <i/>
        <color theme="8" tint="-0.24994659260841701"/>
      </font>
    </dxf>
    <dxf>
      <font>
        <b/>
        <i/>
        <color theme="8" tint="-0.24994659260841701"/>
      </font>
    </dxf>
    <dxf>
      <font>
        <b/>
        <i/>
        <color theme="8" tint="-0.24994659260841701"/>
      </font>
    </dxf>
    <dxf>
      <font>
        <b/>
        <i/>
        <color theme="8" tint="-0.24994659260841701"/>
      </font>
    </dxf>
    <dxf>
      <font>
        <b/>
        <i/>
        <color theme="8" tint="-0.24994659260841701"/>
      </font>
    </dxf>
    <dxf>
      <font>
        <b/>
        <i/>
        <color theme="5" tint="-0.24994659260841701"/>
      </font>
    </dxf>
    <dxf>
      <font>
        <b/>
        <i/>
        <color theme="9" tint="-0.24994659260841701"/>
      </font>
    </dxf>
    <dxf>
      <font>
        <b/>
        <i/>
        <color theme="3" tint="0.499984740745262"/>
      </font>
    </dxf>
    <dxf>
      <fill>
        <patternFill>
          <bgColor rgb="FFFFC7CE"/>
        </patternFill>
      </fill>
    </dxf>
    <dxf>
      <font>
        <b/>
        <i/>
        <color theme="5" tint="-0.24994659260841701"/>
      </font>
    </dxf>
    <dxf>
      <font>
        <b/>
        <i/>
        <color theme="9" tint="-0.24994659260841701"/>
      </font>
    </dxf>
    <dxf>
      <font>
        <b/>
        <i/>
        <color theme="3" tint="0.499984740745262"/>
      </font>
    </dxf>
    <dxf>
      <fill>
        <patternFill>
          <bgColor rgb="FFFFC7CE"/>
        </patternFill>
      </fill>
    </dxf>
    <dxf>
      <font>
        <b/>
        <i/>
        <color theme="8" tint="-0.24994659260841701"/>
      </font>
    </dxf>
    <dxf>
      <font>
        <b/>
        <i/>
        <color theme="5" tint="-0.24994659260841701"/>
      </font>
    </dxf>
    <dxf>
      <font>
        <b/>
        <i/>
        <color theme="9" tint="-0.24994659260841701"/>
      </font>
    </dxf>
    <dxf>
      <font>
        <b/>
        <i/>
        <color theme="5" tint="-0.24994659260841701"/>
      </font>
    </dxf>
    <dxf>
      <font>
        <b/>
        <i/>
        <color theme="9" tint="-0.24994659260841701"/>
      </font>
    </dxf>
    <dxf>
      <font>
        <b/>
        <i/>
        <color theme="3" tint="0.499984740745262"/>
      </font>
    </dxf>
    <dxf>
      <fill>
        <patternFill>
          <bgColor rgb="FFFFC7CE"/>
        </patternFill>
      </fill>
    </dxf>
    <dxf>
      <font>
        <b/>
        <i/>
        <color theme="5" tint="-0.24994659260841701"/>
      </font>
    </dxf>
    <dxf>
      <font>
        <b/>
        <i/>
        <color theme="9" tint="-0.24994659260841701"/>
      </font>
    </dxf>
    <dxf>
      <font>
        <b/>
        <i/>
        <color theme="5" tint="-0.24994659260841701"/>
      </font>
    </dxf>
    <dxf>
      <font>
        <b/>
        <i/>
        <color theme="9" tint="-0.24994659260841701"/>
      </font>
    </dxf>
    <dxf>
      <font>
        <b/>
        <i/>
        <color theme="3" tint="0.499984740745262"/>
      </font>
    </dxf>
    <dxf>
      <fill>
        <patternFill>
          <bgColor rgb="FFFFC7CE"/>
        </patternFill>
      </fill>
    </dxf>
    <dxf>
      <font>
        <b/>
        <i/>
        <color theme="9" tint="-0.24994659260841701"/>
      </font>
    </dxf>
    <dxf>
      <font>
        <b/>
        <i/>
        <color theme="5" tint="-0.24994659260841701"/>
      </font>
    </dxf>
    <dxf>
      <font>
        <b/>
        <i/>
        <color theme="9" tint="-0.24994659260841701"/>
      </font>
    </dxf>
    <dxf>
      <font>
        <b/>
        <i/>
        <color theme="3" tint="0.499984740745262"/>
      </font>
    </dxf>
    <dxf>
      <fill>
        <patternFill>
          <bgColor rgb="FFFFC7CE"/>
        </patternFill>
      </fill>
    </dxf>
    <dxf>
      <font>
        <b/>
        <i/>
        <color theme="5" tint="-0.24994659260841701"/>
      </font>
    </dxf>
    <dxf>
      <font>
        <b/>
        <i/>
        <color theme="9" tint="-0.24994659260841701"/>
      </font>
    </dxf>
    <dxf>
      <font>
        <b/>
        <i/>
        <color theme="3" tint="0.499984740745262"/>
      </font>
    </dxf>
    <dxf>
      <fill>
        <patternFill>
          <bgColor rgb="FFFFC7CE"/>
        </patternFill>
      </fill>
    </dxf>
    <dxf>
      <font>
        <b/>
        <i/>
        <color theme="9" tint="-0.24994659260841701"/>
      </font>
    </dxf>
    <dxf>
      <font>
        <b/>
        <i/>
        <color theme="3" tint="0.499984740745262"/>
      </font>
    </dxf>
    <dxf>
      <fill>
        <patternFill>
          <bgColor rgb="FFFFC7CE"/>
        </patternFill>
      </fill>
    </dxf>
    <dxf>
      <font>
        <b/>
        <i/>
        <color theme="3" tint="0.499984740745262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/>
        <color theme="3" tint="0.499984740745262"/>
      </font>
    </dxf>
    <dxf>
      <font>
        <b/>
        <i/>
        <color theme="3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71EF-5146-4C9D-85F8-C9E04368B9CF}">
  <dimension ref="A1:P23"/>
  <sheetViews>
    <sheetView tabSelected="1" zoomScale="117" workbookViewId="0">
      <selection activeCell="P8" sqref="P8:P23"/>
    </sheetView>
  </sheetViews>
  <sheetFormatPr defaultRowHeight="14.4" x14ac:dyDescent="0.3"/>
  <cols>
    <col min="1" max="1" width="6.88671875" bestFit="1" customWidth="1"/>
    <col min="2" max="2" width="9.77734375" bestFit="1" customWidth="1"/>
    <col min="3" max="3" width="11.109375" bestFit="1" customWidth="1"/>
    <col min="4" max="5" width="4.21875" bestFit="1" customWidth="1"/>
    <col min="6" max="6" width="4.88671875" bestFit="1" customWidth="1"/>
    <col min="7" max="7" width="5.21875" bestFit="1" customWidth="1"/>
    <col min="8" max="8" width="9.77734375" style="3" customWidth="1"/>
    <col min="9" max="9" width="6.44140625" bestFit="1" customWidth="1"/>
  </cols>
  <sheetData>
    <row r="1" spans="1:16" x14ac:dyDescent="0.3">
      <c r="A1" s="5" t="s">
        <v>11</v>
      </c>
      <c r="B1" s="5"/>
      <c r="C1" s="5"/>
      <c r="D1" s="5"/>
      <c r="E1" s="5"/>
      <c r="F1" s="5"/>
      <c r="G1" s="5"/>
      <c r="H1" s="5"/>
      <c r="I1" s="5"/>
    </row>
    <row r="2" spans="1:16" x14ac:dyDescent="0.3">
      <c r="A2" s="1" t="s">
        <v>0</v>
      </c>
      <c r="B2" s="1" t="s">
        <v>1</v>
      </c>
      <c r="C2" s="1" t="s">
        <v>16</v>
      </c>
      <c r="D2" s="1" t="s">
        <v>2</v>
      </c>
      <c r="E2" s="1" t="s">
        <v>3</v>
      </c>
      <c r="F2" s="1" t="s">
        <v>4</v>
      </c>
      <c r="G2" s="1" t="s">
        <v>12</v>
      </c>
      <c r="H2" s="2" t="s">
        <v>14</v>
      </c>
      <c r="I2" s="1" t="s">
        <v>15</v>
      </c>
      <c r="J2" s="1" t="s">
        <v>20</v>
      </c>
    </row>
    <row r="3" spans="1:16" x14ac:dyDescent="0.3">
      <c r="A3">
        <v>1</v>
      </c>
      <c r="B3" t="s">
        <v>5</v>
      </c>
      <c r="C3" t="s">
        <v>17</v>
      </c>
      <c r="D3">
        <v>87</v>
      </c>
      <c r="E3">
        <v>69</v>
      </c>
      <c r="F3">
        <v>100</v>
      </c>
      <c r="G3">
        <f>SUM(D3:F3)</f>
        <v>256</v>
      </c>
      <c r="H3" s="3">
        <f>AVERAGE(D3:F3)</f>
        <v>85.333333333333329</v>
      </c>
      <c r="I3" t="str">
        <f>IF(H3&gt;80,"Best","Low")</f>
        <v>Best</v>
      </c>
      <c r="J3">
        <v>1</v>
      </c>
    </row>
    <row r="4" spans="1:16" x14ac:dyDescent="0.3">
      <c r="A4">
        <v>2</v>
      </c>
      <c r="B4" t="s">
        <v>6</v>
      </c>
      <c r="C4" t="s">
        <v>17</v>
      </c>
      <c r="D4">
        <v>82</v>
      </c>
      <c r="E4">
        <v>73</v>
      </c>
      <c r="F4">
        <v>50</v>
      </c>
      <c r="G4">
        <f t="shared" ref="G4:G8" si="0">SUM(D4:F4)</f>
        <v>205</v>
      </c>
      <c r="H4" s="3">
        <f t="shared" ref="H4:H8" si="1">AVERAGE(D4:F4)</f>
        <v>68.333333333333329</v>
      </c>
      <c r="I4" t="str">
        <f t="shared" ref="I4:I8" si="2">IF(H4&gt;80,"Best","Low")</f>
        <v>Low</v>
      </c>
      <c r="J4">
        <v>2</v>
      </c>
    </row>
    <row r="5" spans="1:16" x14ac:dyDescent="0.3">
      <c r="A5">
        <v>3</v>
      </c>
      <c r="B5" t="s">
        <v>7</v>
      </c>
      <c r="C5" t="s">
        <v>17</v>
      </c>
      <c r="D5">
        <v>94</v>
      </c>
      <c r="E5">
        <v>78</v>
      </c>
      <c r="F5">
        <v>79</v>
      </c>
      <c r="G5">
        <f t="shared" si="0"/>
        <v>251</v>
      </c>
      <c r="H5" s="3">
        <f t="shared" si="1"/>
        <v>83.666666666666671</v>
      </c>
      <c r="I5" t="str">
        <f t="shared" si="2"/>
        <v>Best</v>
      </c>
      <c r="J5">
        <v>3</v>
      </c>
    </row>
    <row r="6" spans="1:16" x14ac:dyDescent="0.3">
      <c r="A6">
        <v>4</v>
      </c>
      <c r="B6" t="s">
        <v>8</v>
      </c>
      <c r="C6" t="s">
        <v>18</v>
      </c>
      <c r="D6">
        <v>90</v>
      </c>
      <c r="E6">
        <v>99</v>
      </c>
      <c r="F6">
        <v>93</v>
      </c>
      <c r="G6">
        <f t="shared" si="0"/>
        <v>282</v>
      </c>
      <c r="H6" s="3">
        <f t="shared" si="1"/>
        <v>94</v>
      </c>
      <c r="I6" t="str">
        <f t="shared" si="2"/>
        <v>Best</v>
      </c>
      <c r="J6">
        <v>4</v>
      </c>
    </row>
    <row r="7" spans="1:16" x14ac:dyDescent="0.3">
      <c r="A7">
        <v>5</v>
      </c>
      <c r="B7" t="s">
        <v>9</v>
      </c>
      <c r="C7" t="s">
        <v>18</v>
      </c>
      <c r="D7">
        <v>55</v>
      </c>
      <c r="E7">
        <v>71</v>
      </c>
      <c r="F7">
        <v>51</v>
      </c>
      <c r="G7">
        <f t="shared" si="0"/>
        <v>177</v>
      </c>
      <c r="H7" s="3">
        <f t="shared" si="1"/>
        <v>59</v>
      </c>
      <c r="I7" t="str">
        <f t="shared" si="2"/>
        <v>Low</v>
      </c>
      <c r="J7">
        <v>5</v>
      </c>
    </row>
    <row r="8" spans="1:16" x14ac:dyDescent="0.3">
      <c r="A8">
        <v>6</v>
      </c>
      <c r="B8" t="s">
        <v>10</v>
      </c>
      <c r="C8" t="s">
        <v>19</v>
      </c>
      <c r="D8">
        <v>54</v>
      </c>
      <c r="E8">
        <v>79</v>
      </c>
      <c r="F8">
        <v>52</v>
      </c>
      <c r="G8">
        <f t="shared" si="0"/>
        <v>185</v>
      </c>
      <c r="H8" s="3">
        <f t="shared" si="1"/>
        <v>61.666666666666664</v>
      </c>
      <c r="I8" t="str">
        <f t="shared" si="2"/>
        <v>Low</v>
      </c>
      <c r="J8">
        <v>6</v>
      </c>
      <c r="P8">
        <v>1</v>
      </c>
    </row>
    <row r="9" spans="1:16" x14ac:dyDescent="0.3">
      <c r="P9">
        <v>2</v>
      </c>
    </row>
    <row r="10" spans="1:16" x14ac:dyDescent="0.3">
      <c r="D10">
        <f>AVERAGE(D3:D8)</f>
        <v>77</v>
      </c>
      <c r="E10">
        <f t="shared" ref="E10:F10" si="3">AVERAGE(E3:E8)</f>
        <v>78.166666666666671</v>
      </c>
      <c r="F10">
        <f t="shared" si="3"/>
        <v>70.833333333333329</v>
      </c>
      <c r="P10">
        <v>3</v>
      </c>
    </row>
    <row r="11" spans="1:16" x14ac:dyDescent="0.3">
      <c r="P11">
        <v>4</v>
      </c>
    </row>
    <row r="12" spans="1:16" x14ac:dyDescent="0.3">
      <c r="P12">
        <v>5</v>
      </c>
    </row>
    <row r="13" spans="1:16" x14ac:dyDescent="0.3">
      <c r="P13">
        <v>6</v>
      </c>
    </row>
    <row r="14" spans="1:16" x14ac:dyDescent="0.3">
      <c r="A14" t="s">
        <v>13</v>
      </c>
      <c r="B14">
        <f>COUNTA(A3:A8)</f>
        <v>6</v>
      </c>
      <c r="H14" s="4"/>
      <c r="P14">
        <v>7</v>
      </c>
    </row>
    <row r="15" spans="1:16" x14ac:dyDescent="0.3">
      <c r="H15" s="4"/>
      <c r="P15">
        <v>8</v>
      </c>
    </row>
    <row r="16" spans="1:16" x14ac:dyDescent="0.3">
      <c r="H16" s="4"/>
      <c r="P16">
        <v>9</v>
      </c>
    </row>
    <row r="17" spans="8:16" x14ac:dyDescent="0.3">
      <c r="H17" s="4"/>
      <c r="P17">
        <v>10</v>
      </c>
    </row>
    <row r="18" spans="8:16" x14ac:dyDescent="0.3">
      <c r="H18" s="4"/>
      <c r="P18">
        <v>11</v>
      </c>
    </row>
    <row r="19" spans="8:16" x14ac:dyDescent="0.3">
      <c r="H19" s="4"/>
      <c r="P19">
        <v>12</v>
      </c>
    </row>
    <row r="20" spans="8:16" x14ac:dyDescent="0.3">
      <c r="H20" s="4"/>
      <c r="P20">
        <v>13</v>
      </c>
    </row>
    <row r="21" spans="8:16" x14ac:dyDescent="0.3">
      <c r="H21" s="4"/>
      <c r="P21">
        <v>14</v>
      </c>
    </row>
    <row r="22" spans="8:16" x14ac:dyDescent="0.3">
      <c r="H22" s="4"/>
      <c r="P22">
        <v>15</v>
      </c>
    </row>
    <row r="23" spans="8:16" x14ac:dyDescent="0.3">
      <c r="H23" s="4"/>
      <c r="P23">
        <v>16</v>
      </c>
    </row>
  </sheetData>
  <mergeCells count="1">
    <mergeCell ref="A1:I1"/>
  </mergeCells>
  <phoneticPr fontId="3" type="noConversion"/>
  <conditionalFormatting sqref="D2:F8">
    <cfRule type="cellIs" dxfId="14" priority="16" operator="lessThan">
      <formula>50</formula>
    </cfRule>
    <cfRule type="cellIs" dxfId="13" priority="15" operator="between">
      <formula>50</formula>
      <formula>70</formula>
    </cfRule>
  </conditionalFormatting>
  <conditionalFormatting sqref="I3:I8">
    <cfRule type="containsText" dxfId="12" priority="14" operator="containsText" text="Best">
      <formula>NOT(ISERROR(SEARCH("Best",I3)))</formula>
    </cfRule>
    <cfRule type="containsText" dxfId="11" priority="9" operator="containsText" text="Low">
      <formula>NOT(ISERROR(SEARCH("Low",I3)))</formula>
    </cfRule>
  </conditionalFormatting>
  <conditionalFormatting sqref="H3:H8">
    <cfRule type="aboveAverage" dxfId="4" priority="10"/>
    <cfRule type="iconSet" priority="4">
      <iconSet>
        <cfvo type="percent" val="0"/>
        <cfvo type="percent" val="33"/>
        <cfvo type="percent" val="67"/>
      </iconSet>
    </cfRule>
  </conditionalFormatting>
  <conditionalFormatting sqref="J3:J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{79D5BAB2-7E8B-4051-BA6F-885A0152C75F}</x14:id>
        </ext>
      </extLst>
    </cfRule>
    <cfRule type="dataBar" priority="7">
      <dataBar>
        <cfvo type="min"/>
        <cfvo type="max"/>
        <color theme="8" tint="-0.249977111117893"/>
      </dataBar>
      <extLst>
        <ext xmlns:x14="http://schemas.microsoft.com/office/spreadsheetml/2009/9/main" uri="{B025F937-C7B1-47D3-B67F-A62EFF666E3E}">
          <x14:id>{5057E199-A38A-4749-81CC-D10488A193B4}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{92847742-B041-42FD-8F39-D0E8F9887E14}</x14:id>
        </ext>
      </extLst>
    </cfRule>
  </conditionalFormatting>
  <conditionalFormatting sqref="P8:P23">
    <cfRule type="expression" priority="3">
      <formula>ISEVEN($P8)</formula>
    </cfRule>
    <cfRule type="expression" dxfId="2" priority="2">
      <formula>ISEVEN($P8)</formula>
    </cfRule>
    <cfRule type="expression" dxfId="1" priority="1">
      <formula>ISODD($P8)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F7EAFA4D-645D-4342-A5C3-58DA569F0DEA}">
            <x14:iconSet iconSet="4Arrows" custom="1">
              <x14:cfvo type="percent">
                <xm:f>0</xm:f>
              </x14:cfvo>
              <x14:cfvo type="percent">
                <xm:f>50</xm:f>
              </x14:cfvo>
              <x14:cfvo type="percent">
                <xm:f>70</xm:f>
              </x14:cfvo>
              <x14:cfvo type="percent">
                <xm:f>80</xm:f>
              </x14:cfvo>
              <x14:cfIcon iconSet="3Arrows" iconId="0"/>
              <x14:cfIcon iconSet="3Arrows" iconId="0"/>
              <x14:cfIcon iconSet="3Arrows" iconId="1"/>
              <x14:cfIcon iconSet="3Arrows" iconId="2"/>
            </x14:iconSet>
          </x14:cfRule>
          <xm:sqref>H3:H8</xm:sqref>
        </x14:conditionalFormatting>
        <x14:conditionalFormatting xmlns:xm="http://schemas.microsoft.com/office/excel/2006/main">
          <x14:cfRule type="dataBar" id="{79D5BAB2-7E8B-4051-BA6F-885A0152C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057E199-A38A-4749-81CC-D10488A19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847742-B041-42FD-8F39-D0E8F9887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Kumaran M</cp:lastModifiedBy>
  <dcterms:created xsi:type="dcterms:W3CDTF">2026-07-20T06:16:20Z</dcterms:created>
  <dcterms:modified xsi:type="dcterms:W3CDTF">2026-07-27T07:10:38Z</dcterms:modified>
</cp:coreProperties>
</file>